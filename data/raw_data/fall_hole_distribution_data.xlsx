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8125"/>
  <workbookPr showInkAnnotation="0" autoCompressPictures="0"/>
  <bookViews>
    <workbookView xWindow="640" yWindow="0" windowWidth="25520" windowHeight="15620" tabRatio="500"/>
  </bookViews>
  <sheets>
    <sheet name="Sheet1" sheetId="1" r:id="rId1"/>
    <sheet name="weight calculations" sheetId="2" r:id="rId2"/>
    <sheet name="Sheet2" sheetId="3" r:id="rId3"/>
  </sheets>
  <calcPr calcId="140000" iterateCount="1" concurrentCalc="0"/>
  <extLst>
    <ext xmlns:mx="http://schemas.microsoft.com/office/mac/excel/2008/main" uri="{7523E5D3-25F3-A5E0-1632-64F254C22452}">
      <mx:ArchID Flags="2"/>
    </ext>
  </extLst>
</workbook>
</file>

<file path=xl/calcChain.xml><?xml version="1.0" encoding="utf-8"?>
<calcChain xmlns="http://schemas.openxmlformats.org/spreadsheetml/2006/main">
  <c r="F10" i="3" l="1"/>
  <c r="F9" i="3"/>
  <c r="F7" i="3"/>
  <c r="H4" i="3"/>
  <c r="F4" i="3"/>
  <c r="C4" i="3"/>
  <c r="D4" i="3"/>
  <c r="E4" i="3"/>
  <c r="B4" i="3"/>
  <c r="B53" i="2"/>
  <c r="H7" i="2"/>
  <c r="J7" i="2"/>
  <c r="K7" i="2"/>
  <c r="H8" i="2"/>
  <c r="J8" i="2"/>
  <c r="K8" i="2"/>
  <c r="H9" i="2"/>
  <c r="J9" i="2"/>
  <c r="K9" i="2"/>
  <c r="H10" i="2"/>
  <c r="J10" i="2"/>
  <c r="K10" i="2"/>
  <c r="H11" i="2"/>
  <c r="J11" i="2"/>
  <c r="K11" i="2"/>
  <c r="H12" i="2"/>
  <c r="J12" i="2"/>
  <c r="K12" i="2"/>
  <c r="H13" i="2"/>
  <c r="J13" i="2"/>
  <c r="K13" i="2"/>
  <c r="H14" i="2"/>
  <c r="J14" i="2"/>
  <c r="K14" i="2"/>
  <c r="H15" i="2"/>
  <c r="J15" i="2"/>
  <c r="K15" i="2"/>
  <c r="H17" i="2"/>
  <c r="J17" i="2"/>
  <c r="K17" i="2"/>
  <c r="H18" i="2"/>
  <c r="J18" i="2"/>
  <c r="K18" i="2"/>
  <c r="H19" i="2"/>
  <c r="J19" i="2"/>
  <c r="K19" i="2"/>
  <c r="H20" i="2"/>
  <c r="J20" i="2"/>
  <c r="K20" i="2"/>
  <c r="H21" i="2"/>
  <c r="J21" i="2"/>
  <c r="K21" i="2"/>
  <c r="H22" i="2"/>
  <c r="J22" i="2"/>
  <c r="K22" i="2"/>
  <c r="H23" i="2"/>
  <c r="J23" i="2"/>
  <c r="K23" i="2"/>
  <c r="H24" i="2"/>
  <c r="J24" i="2"/>
  <c r="K24" i="2"/>
  <c r="H25" i="2"/>
  <c r="J25" i="2"/>
  <c r="K25" i="2"/>
  <c r="H26" i="2"/>
  <c r="J26" i="2"/>
  <c r="K26" i="2"/>
  <c r="H27" i="2"/>
  <c r="J27" i="2"/>
  <c r="K27" i="2"/>
  <c r="H28" i="2"/>
  <c r="J28" i="2"/>
  <c r="K28" i="2"/>
  <c r="J29" i="2"/>
  <c r="K29" i="2"/>
  <c r="M29" i="2"/>
  <c r="H30" i="2"/>
  <c r="J30" i="2"/>
  <c r="K30" i="2"/>
  <c r="H31" i="2"/>
  <c r="J31" i="2"/>
  <c r="K31" i="2"/>
  <c r="H32" i="2"/>
  <c r="J32" i="2"/>
  <c r="K32" i="2"/>
  <c r="H33" i="2"/>
  <c r="J33" i="2"/>
  <c r="K33" i="2"/>
  <c r="H34" i="2"/>
  <c r="J34" i="2"/>
  <c r="K34" i="2"/>
  <c r="H35" i="2"/>
  <c r="J35" i="2"/>
  <c r="K35" i="2"/>
  <c r="H36" i="2"/>
  <c r="J36" i="2"/>
  <c r="K36" i="2"/>
  <c r="H37" i="2"/>
  <c r="J37" i="2"/>
  <c r="K37" i="2"/>
  <c r="H38" i="2"/>
  <c r="J38" i="2"/>
  <c r="K38" i="2"/>
  <c r="H39" i="2"/>
  <c r="J39" i="2"/>
  <c r="K39" i="2"/>
  <c r="H40" i="2"/>
  <c r="J40" i="2"/>
  <c r="K40" i="2"/>
  <c r="H41" i="2"/>
  <c r="J41" i="2"/>
  <c r="K41" i="2"/>
  <c r="H42" i="2"/>
  <c r="J42" i="2"/>
  <c r="K42" i="2"/>
  <c r="H43" i="2"/>
  <c r="J43" i="2"/>
  <c r="K43" i="2"/>
  <c r="H44" i="2"/>
  <c r="J44" i="2"/>
  <c r="K44" i="2"/>
  <c r="H45" i="2"/>
  <c r="J45" i="2"/>
  <c r="K45" i="2"/>
  <c r="H46" i="2"/>
  <c r="J46" i="2"/>
  <c r="K46" i="2"/>
  <c r="H47" i="2"/>
  <c r="J47" i="2"/>
  <c r="K47" i="2"/>
  <c r="H48" i="2"/>
  <c r="J48" i="2"/>
  <c r="K48" i="2"/>
  <c r="M30" i="2"/>
  <c r="H29" i="2"/>
  <c r="H6" i="2"/>
  <c r="J6" i="2"/>
  <c r="K6" i="2"/>
</calcChain>
</file>

<file path=xl/sharedStrings.xml><?xml version="1.0" encoding="utf-8"?>
<sst xmlns="http://schemas.openxmlformats.org/spreadsheetml/2006/main" count="172" uniqueCount="93">
  <si>
    <t>Hole</t>
  </si>
  <si>
    <t>ID</t>
  </si>
  <si>
    <t>1-1</t>
  </si>
  <si>
    <t>1-2</t>
  </si>
  <si>
    <t>2-1</t>
  </si>
  <si>
    <t>3-1</t>
  </si>
  <si>
    <t>4-1</t>
  </si>
  <si>
    <t>4-2</t>
  </si>
  <si>
    <t>5-1</t>
  </si>
  <si>
    <t>5-2</t>
  </si>
  <si>
    <t>5-3</t>
  </si>
  <si>
    <t>5-4</t>
  </si>
  <si>
    <t>5-5</t>
  </si>
  <si>
    <t>depth (cm)</t>
  </si>
  <si>
    <t>NA</t>
  </si>
  <si>
    <t>distance_from_hole_on_surface (cm)</t>
  </si>
  <si>
    <t>nearest_neighbor</t>
  </si>
  <si>
    <t>weight (g)</t>
  </si>
  <si>
    <t>(cut by trowel- so probably missing weight)</t>
  </si>
  <si>
    <t>LabID</t>
  </si>
  <si>
    <t>Q1</t>
  </si>
  <si>
    <t>Q2</t>
  </si>
  <si>
    <t>Q3</t>
  </si>
  <si>
    <t>Q4</t>
  </si>
  <si>
    <t>Q5</t>
  </si>
  <si>
    <t>Q6</t>
  </si>
  <si>
    <t>Q7</t>
  </si>
  <si>
    <t>Q8</t>
  </si>
  <si>
    <t>Q9</t>
  </si>
  <si>
    <t>Q10</t>
  </si>
  <si>
    <t>Q11</t>
  </si>
  <si>
    <t>Collection Notes</t>
  </si>
  <si>
    <t>Apicystis</t>
  </si>
  <si>
    <t>Nosema</t>
  </si>
  <si>
    <t>Crithidia</t>
  </si>
  <si>
    <t>12</t>
  </si>
  <si>
    <t>13</t>
  </si>
  <si>
    <t>14</t>
  </si>
  <si>
    <t>15</t>
  </si>
  <si>
    <t>16</t>
  </si>
  <si>
    <t>17</t>
  </si>
  <si>
    <t>18</t>
  </si>
  <si>
    <t>19</t>
  </si>
  <si>
    <t>20</t>
  </si>
  <si>
    <t>21</t>
  </si>
  <si>
    <t>22</t>
  </si>
  <si>
    <t>23</t>
  </si>
  <si>
    <t>24</t>
  </si>
  <si>
    <t>25</t>
  </si>
  <si>
    <t>Q12</t>
  </si>
  <si>
    <t>Q13</t>
  </si>
  <si>
    <t>Q14</t>
  </si>
  <si>
    <t>Q15</t>
  </si>
  <si>
    <t>Q16</t>
  </si>
  <si>
    <t>Q17</t>
  </si>
  <si>
    <t>Q18</t>
  </si>
  <si>
    <t>Q19</t>
  </si>
  <si>
    <t>Q20</t>
  </si>
  <si>
    <t>Q21</t>
  </si>
  <si>
    <t>Q22</t>
  </si>
  <si>
    <t>Q23</t>
  </si>
  <si>
    <t>Q24</t>
  </si>
  <si>
    <t>Q25</t>
  </si>
  <si>
    <t>GITC extracted already (uL)</t>
  </si>
  <si>
    <t>GITC weight for 300 uL (g)</t>
  </si>
  <si>
    <t>1.5 mL Vial weight (g)</t>
  </si>
  <si>
    <t>bodyWeightIncludingVial (g)</t>
  </si>
  <si>
    <t>gutWeightIncludingVialAndBuffer</t>
  </si>
  <si>
    <t>## OverWintering Queens</t>
  </si>
  <si>
    <t>## Samantha Alger, Alex Burnham, Leif Richardson</t>
  </si>
  <si>
    <t>## calculating the weight for each bee, since we didn't weigh the spring bees prior to dissection, we need to weigh the guts with the buffer separately and the bodies with buffer separately.</t>
  </si>
  <si>
    <t>notes</t>
  </si>
  <si>
    <t>there is more than 300ul of buffer in this vial, probably due to adding twice the amount during dissections by mistake.</t>
  </si>
  <si>
    <t>GITC g/uL</t>
  </si>
  <si>
    <t>GITC remaining (uL)</t>
  </si>
  <si>
    <t>GITC mass</t>
  </si>
  <si>
    <t>Bee Mass Est. (g)</t>
  </si>
  <si>
    <t>Group</t>
  </si>
  <si>
    <t>Fall</t>
  </si>
  <si>
    <t>Spring</t>
  </si>
  <si>
    <t>## ID is the bee ID, Group is when the bee was collected (either fall before hibernation or spring, after emergence), GITC extracted already is the amount of GITC buffer that was taken out of each gut homogenite for RNA extractions prior to weighing, bodyWeightIncludingVial is the weight of the head, thorax, and abdomen (empty) and the vial, gutWeightIncludingVialAndBuffer is the weight of the gut plus the 300 ul of GITC buffer added and the vial, 1.5 mL vial weight is the average weight of a vial, GITC weight for 300 ul is the weight for 300 ul of GITC buffer, GITC remaining is the amoung of GITC remaining in the vial after some has been extracted (specified in column 'GITC extracted already); GITC mass is the weight of the remaining GITC buffer, Bee Mass Est. (g) is the weight of the bee calculated.</t>
  </si>
  <si>
    <t>fall total</t>
  </si>
  <si>
    <t>spring total</t>
  </si>
  <si>
    <t>PCR Rxn calculations</t>
  </si>
  <si>
    <t>total samples</t>
  </si>
  <si>
    <t>BQ</t>
  </si>
  <si>
    <t>DWV</t>
  </si>
  <si>
    <t>Actin</t>
  </si>
  <si>
    <t>LSV</t>
  </si>
  <si>
    <t>pos and neg controls/plate</t>
  </si>
  <si>
    <t>4 plates</t>
  </si>
  <si>
    <t>triplicates (.30)</t>
  </si>
  <si>
    <t>500 rxns</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</si>
</sst>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2"/>
      <color rgb="FF000000"/>
      <name val="Calibri"/>
      <family val="2"/>
      <scheme val="minor"/>
    </font>
    <font>
      <sz val="12"/>
      <color indexed="206"/>
      <name val="Calibri"/>
      <family val="2"/>
    </font>
  </fonts>
  <fills count="3">
    <fill>
      <patternFill patternType="none"/>
    </fill>
    <fill>
      <patternFill patternType="gray125"/>
    </fill>
    <fill>
      <patternFill patternType="solid">
        <fgColor theme="6"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41">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13">
    <xf numFmtId="0" fontId="0" fillId="0" borderId="0" xfId="0"/>
    <xf numFmtId="49" fontId="0" fillId="0" borderId="0" xfId="0" applyNumberFormat="1"/>
    <xf numFmtId="49" fontId="0" fillId="0" borderId="0" xfId="0" applyNumberFormat="1" applyBorder="1"/>
    <xf numFmtId="0" fontId="0" fillId="0" borderId="0" xfId="0" applyBorder="1"/>
    <xf numFmtId="0" fontId="1" fillId="0" borderId="0" xfId="0" applyFont="1" applyBorder="1"/>
    <xf numFmtId="49" fontId="1" fillId="0" borderId="0" xfId="0" applyNumberFormat="1" applyFont="1" applyBorder="1"/>
    <xf numFmtId="0" fontId="1" fillId="0" borderId="0" xfId="0" applyFont="1" applyBorder="1" applyAlignment="1">
      <alignment wrapText="1"/>
    </xf>
    <xf numFmtId="0" fontId="0" fillId="0" borderId="0" xfId="0" applyFill="1" applyBorder="1"/>
    <xf numFmtId="0" fontId="0" fillId="0" borderId="0" xfId="0" applyAlignment="1"/>
    <xf numFmtId="0" fontId="1" fillId="0" borderId="0" xfId="0" applyFont="1"/>
    <xf numFmtId="0" fontId="4" fillId="0" borderId="0" xfId="0" applyFont="1"/>
    <xf numFmtId="0" fontId="0" fillId="2" borderId="1" xfId="0" applyFill="1" applyBorder="1"/>
    <xf numFmtId="0" fontId="5" fillId="0" borderId="0" xfId="0" applyFont="1"/>
  </cellXfs>
  <cellStyles count="41">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7"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tabSelected="1" workbookViewId="0">
      <selection activeCell="I35" sqref="I35"/>
    </sheetView>
  </sheetViews>
  <sheetFormatPr baseColWidth="10" defaultRowHeight="15" x14ac:dyDescent="0"/>
  <cols>
    <col min="1" max="1" width="5.6640625" customWidth="1"/>
    <col min="2" max="2" width="4.5" style="1" customWidth="1"/>
    <col min="3" max="3" width="6.33203125" style="1" customWidth="1"/>
    <col min="5" max="5" width="18.83203125" customWidth="1"/>
    <col min="6" max="6" width="9" customWidth="1"/>
    <col min="8" max="8" width="14.6640625" customWidth="1"/>
    <col min="9" max="9" width="13.6640625" customWidth="1"/>
  </cols>
  <sheetData>
    <row r="1" spans="1:11" ht="30">
      <c r="A1" s="4" t="s">
        <v>0</v>
      </c>
      <c r="B1" s="5" t="s">
        <v>1</v>
      </c>
      <c r="C1" s="5" t="s">
        <v>19</v>
      </c>
      <c r="D1" s="4" t="s">
        <v>13</v>
      </c>
      <c r="E1" s="6" t="s">
        <v>15</v>
      </c>
      <c r="F1" s="6" t="s">
        <v>16</v>
      </c>
      <c r="G1" s="4" t="s">
        <v>17</v>
      </c>
      <c r="H1" s="9" t="s">
        <v>31</v>
      </c>
      <c r="I1" s="9" t="s">
        <v>32</v>
      </c>
      <c r="J1" s="9" t="s">
        <v>33</v>
      </c>
      <c r="K1" s="9" t="s">
        <v>34</v>
      </c>
    </row>
    <row r="2" spans="1:11">
      <c r="A2" s="3">
        <v>1</v>
      </c>
      <c r="B2" s="2" t="s">
        <v>3</v>
      </c>
      <c r="C2" s="2" t="s">
        <v>20</v>
      </c>
      <c r="D2" s="3">
        <v>7</v>
      </c>
      <c r="E2" s="3">
        <v>6</v>
      </c>
      <c r="F2" s="3">
        <v>6</v>
      </c>
      <c r="G2" s="7">
        <v>0.7</v>
      </c>
      <c r="I2">
        <v>0</v>
      </c>
      <c r="J2">
        <v>0</v>
      </c>
      <c r="K2">
        <v>0</v>
      </c>
    </row>
    <row r="3" spans="1:11">
      <c r="A3" s="3">
        <v>2</v>
      </c>
      <c r="B3" s="2" t="s">
        <v>4</v>
      </c>
      <c r="C3" s="2" t="s">
        <v>21</v>
      </c>
      <c r="D3" s="3">
        <v>7.5</v>
      </c>
      <c r="E3" s="3">
        <v>7</v>
      </c>
      <c r="F3" s="3" t="s">
        <v>14</v>
      </c>
      <c r="G3" s="7">
        <v>0.74329999999999996</v>
      </c>
      <c r="I3">
        <v>0</v>
      </c>
      <c r="J3">
        <v>0</v>
      </c>
      <c r="K3">
        <v>0</v>
      </c>
    </row>
    <row r="4" spans="1:11">
      <c r="A4" s="3">
        <v>3</v>
      </c>
      <c r="B4" s="2" t="s">
        <v>5</v>
      </c>
      <c r="C4" s="2" t="s">
        <v>22</v>
      </c>
      <c r="D4" s="3">
        <v>6</v>
      </c>
      <c r="E4" s="3">
        <v>11</v>
      </c>
      <c r="F4" s="3" t="s">
        <v>14</v>
      </c>
      <c r="G4" s="7">
        <v>0.46800000000000003</v>
      </c>
      <c r="I4">
        <v>0</v>
      </c>
      <c r="J4">
        <v>0</v>
      </c>
      <c r="K4">
        <v>0</v>
      </c>
    </row>
    <row r="5" spans="1:11">
      <c r="A5" s="3">
        <v>4</v>
      </c>
      <c r="B5" s="2" t="s">
        <v>6</v>
      </c>
      <c r="C5" s="2" t="s">
        <v>23</v>
      </c>
      <c r="D5" s="3">
        <v>7</v>
      </c>
      <c r="E5" s="3">
        <v>6</v>
      </c>
      <c r="F5" s="3">
        <v>11</v>
      </c>
      <c r="G5" s="7">
        <v>0.75260000000000005</v>
      </c>
      <c r="I5">
        <v>0</v>
      </c>
      <c r="J5">
        <v>0</v>
      </c>
      <c r="K5">
        <v>0</v>
      </c>
    </row>
    <row r="6" spans="1:11">
      <c r="A6" s="3">
        <v>4</v>
      </c>
      <c r="B6" s="2" t="s">
        <v>7</v>
      </c>
      <c r="C6" s="2" t="s">
        <v>24</v>
      </c>
      <c r="D6" s="3">
        <v>7</v>
      </c>
      <c r="E6" s="3">
        <v>9</v>
      </c>
      <c r="F6" s="3">
        <v>11</v>
      </c>
      <c r="G6" s="7">
        <v>0.72819999999999996</v>
      </c>
      <c r="I6">
        <v>0</v>
      </c>
      <c r="J6">
        <v>0</v>
      </c>
      <c r="K6">
        <v>0</v>
      </c>
    </row>
    <row r="7" spans="1:11">
      <c r="A7" s="3">
        <v>5</v>
      </c>
      <c r="B7" s="2" t="s">
        <v>8</v>
      </c>
      <c r="C7" s="2" t="s">
        <v>25</v>
      </c>
      <c r="D7" s="3">
        <v>5</v>
      </c>
      <c r="E7" s="3">
        <v>9</v>
      </c>
      <c r="F7" s="3">
        <v>5</v>
      </c>
      <c r="G7" s="7">
        <v>0.65380000000000005</v>
      </c>
      <c r="I7">
        <v>0</v>
      </c>
      <c r="J7">
        <v>0</v>
      </c>
      <c r="K7">
        <v>0</v>
      </c>
    </row>
    <row r="8" spans="1:11">
      <c r="A8" s="3">
        <v>5</v>
      </c>
      <c r="B8" s="2" t="s">
        <v>9</v>
      </c>
      <c r="C8" s="2" t="s">
        <v>26</v>
      </c>
      <c r="D8" s="3">
        <v>5</v>
      </c>
      <c r="E8" s="3">
        <v>9.5</v>
      </c>
      <c r="F8" s="3">
        <v>5</v>
      </c>
      <c r="G8" s="7">
        <v>6.51</v>
      </c>
      <c r="I8">
        <v>0</v>
      </c>
      <c r="J8">
        <v>0</v>
      </c>
      <c r="K8">
        <v>0</v>
      </c>
    </row>
    <row r="9" spans="1:11">
      <c r="A9" s="3">
        <v>5</v>
      </c>
      <c r="B9" s="2" t="s">
        <v>10</v>
      </c>
      <c r="C9" s="2" t="s">
        <v>27</v>
      </c>
      <c r="D9" s="3">
        <v>6</v>
      </c>
      <c r="E9" s="3">
        <v>10</v>
      </c>
      <c r="F9" s="3">
        <v>5</v>
      </c>
      <c r="G9" s="7">
        <v>0.73499999999999999</v>
      </c>
      <c r="I9">
        <v>0</v>
      </c>
      <c r="J9">
        <v>0</v>
      </c>
      <c r="K9">
        <v>0</v>
      </c>
    </row>
    <row r="10" spans="1:11">
      <c r="A10" s="3">
        <v>5</v>
      </c>
      <c r="B10" s="2" t="s">
        <v>11</v>
      </c>
      <c r="C10" s="2" t="s">
        <v>28</v>
      </c>
      <c r="D10" s="3">
        <v>5</v>
      </c>
      <c r="E10" s="3">
        <v>8.5</v>
      </c>
      <c r="F10" s="3">
        <v>5</v>
      </c>
      <c r="G10" s="7">
        <v>0.79900000000000004</v>
      </c>
      <c r="I10">
        <v>0</v>
      </c>
      <c r="J10">
        <v>0</v>
      </c>
      <c r="K10">
        <v>0</v>
      </c>
    </row>
    <row r="11" spans="1:11">
      <c r="A11" s="3">
        <v>5</v>
      </c>
      <c r="B11" s="2" t="s">
        <v>12</v>
      </c>
      <c r="C11" s="2" t="s">
        <v>29</v>
      </c>
      <c r="D11" s="3">
        <v>8.5</v>
      </c>
      <c r="E11" s="3">
        <v>0</v>
      </c>
      <c r="F11" s="3">
        <v>7</v>
      </c>
      <c r="G11" s="7">
        <v>0.74199999999999999</v>
      </c>
      <c r="I11">
        <v>0</v>
      </c>
      <c r="J11">
        <v>0</v>
      </c>
      <c r="K11">
        <v>0</v>
      </c>
    </row>
    <row r="12" spans="1:11">
      <c r="A12" s="3">
        <v>1</v>
      </c>
      <c r="B12" s="2" t="s">
        <v>2</v>
      </c>
      <c r="C12" s="2" t="s">
        <v>30</v>
      </c>
      <c r="D12" s="3">
        <v>14</v>
      </c>
      <c r="E12" s="3">
        <v>0</v>
      </c>
      <c r="F12" s="3">
        <v>6</v>
      </c>
      <c r="G12" s="7">
        <v>0.67200000000000004</v>
      </c>
      <c r="H12" s="8" t="s">
        <v>18</v>
      </c>
    </row>
    <row r="13" spans="1:11">
      <c r="A13" s="7">
        <v>6</v>
      </c>
      <c r="B13" s="1" t="s">
        <v>35</v>
      </c>
      <c r="C13" s="1" t="s">
        <v>49</v>
      </c>
      <c r="D13" s="7">
        <v>2.5</v>
      </c>
      <c r="E13" s="7">
        <v>4.5</v>
      </c>
      <c r="G13" s="7">
        <v>0.6532</v>
      </c>
    </row>
    <row r="14" spans="1:11">
      <c r="A14" s="7">
        <v>7</v>
      </c>
      <c r="B14" s="1" t="s">
        <v>36</v>
      </c>
      <c r="C14" s="2" t="s">
        <v>50</v>
      </c>
      <c r="D14" s="7">
        <v>4.5</v>
      </c>
      <c r="E14" s="7">
        <v>16</v>
      </c>
      <c r="G14" s="7">
        <v>0.70630000000000004</v>
      </c>
    </row>
    <row r="15" spans="1:11">
      <c r="A15" s="7">
        <v>8</v>
      </c>
      <c r="B15" s="1" t="s">
        <v>37</v>
      </c>
      <c r="C15" s="1" t="s">
        <v>51</v>
      </c>
      <c r="D15" s="7">
        <v>4</v>
      </c>
      <c r="E15" s="7">
        <v>13</v>
      </c>
      <c r="G15">
        <v>0.77959999999999996</v>
      </c>
    </row>
    <row r="16" spans="1:11">
      <c r="A16" s="7">
        <v>8</v>
      </c>
      <c r="B16" s="1" t="s">
        <v>38</v>
      </c>
      <c r="C16" s="2" t="s">
        <v>52</v>
      </c>
      <c r="D16" s="7">
        <v>7.5</v>
      </c>
      <c r="E16" s="7">
        <v>7</v>
      </c>
      <c r="G16">
        <v>0.76519999999999999</v>
      </c>
    </row>
    <row r="17" spans="1:7">
      <c r="A17" s="7">
        <v>8</v>
      </c>
      <c r="B17" s="1" t="s">
        <v>39</v>
      </c>
      <c r="C17" s="1" t="s">
        <v>53</v>
      </c>
      <c r="D17" s="7">
        <v>5.5</v>
      </c>
      <c r="E17" s="7">
        <v>4</v>
      </c>
      <c r="G17">
        <v>0.68430000000000002</v>
      </c>
    </row>
    <row r="18" spans="1:7">
      <c r="A18" s="7">
        <v>9</v>
      </c>
      <c r="B18" s="1" t="s">
        <v>40</v>
      </c>
      <c r="C18" s="2" t="s">
        <v>54</v>
      </c>
      <c r="D18" s="7">
        <v>9.5</v>
      </c>
      <c r="E18" s="7">
        <v>8</v>
      </c>
      <c r="G18">
        <v>0.62339999999999995</v>
      </c>
    </row>
    <row r="19" spans="1:7">
      <c r="A19" s="7">
        <v>8</v>
      </c>
      <c r="B19" s="1" t="s">
        <v>41</v>
      </c>
      <c r="C19" s="1" t="s">
        <v>55</v>
      </c>
      <c r="D19" s="7">
        <v>3.5</v>
      </c>
      <c r="E19" s="7">
        <v>12</v>
      </c>
      <c r="G19">
        <v>0.68930000000000002</v>
      </c>
    </row>
    <row r="20" spans="1:7">
      <c r="A20" s="7">
        <v>8</v>
      </c>
      <c r="B20" s="1" t="s">
        <v>42</v>
      </c>
      <c r="C20" s="2" t="s">
        <v>56</v>
      </c>
      <c r="D20" s="7">
        <v>6</v>
      </c>
      <c r="E20" s="7">
        <v>6</v>
      </c>
      <c r="G20">
        <v>0.73370000000000002</v>
      </c>
    </row>
    <row r="21" spans="1:7">
      <c r="A21" s="7">
        <v>8</v>
      </c>
      <c r="B21" s="1" t="s">
        <v>43</v>
      </c>
      <c r="C21" s="1" t="s">
        <v>57</v>
      </c>
      <c r="D21" s="7">
        <v>6.5</v>
      </c>
      <c r="E21" s="7">
        <v>3</v>
      </c>
      <c r="G21" s="7">
        <v>0.67549999999999999</v>
      </c>
    </row>
    <row r="22" spans="1:7">
      <c r="A22" s="7">
        <v>8</v>
      </c>
      <c r="B22" s="1" t="s">
        <v>44</v>
      </c>
      <c r="C22" s="2" t="s">
        <v>58</v>
      </c>
      <c r="D22" s="7">
        <v>3.5</v>
      </c>
      <c r="E22" s="7">
        <v>17</v>
      </c>
      <c r="G22">
        <v>0.68579999999999997</v>
      </c>
    </row>
    <row r="23" spans="1:7">
      <c r="A23" s="7">
        <v>8</v>
      </c>
      <c r="B23" s="1" t="s">
        <v>45</v>
      </c>
      <c r="C23" s="1" t="s">
        <v>59</v>
      </c>
      <c r="D23" s="7">
        <v>8.5</v>
      </c>
      <c r="E23" s="7">
        <v>11</v>
      </c>
      <c r="G23">
        <v>0.70440000000000003</v>
      </c>
    </row>
    <row r="24" spans="1:7">
      <c r="A24" s="7">
        <v>8</v>
      </c>
      <c r="B24" s="1" t="s">
        <v>46</v>
      </c>
      <c r="C24" s="2" t="s">
        <v>60</v>
      </c>
      <c r="D24" s="7">
        <v>6.5</v>
      </c>
      <c r="E24" s="7">
        <v>22</v>
      </c>
      <c r="G24">
        <v>0.76539999999999997</v>
      </c>
    </row>
    <row r="25" spans="1:7">
      <c r="A25" s="7">
        <v>8</v>
      </c>
      <c r="B25" s="1" t="s">
        <v>47</v>
      </c>
      <c r="C25" s="1" t="s">
        <v>61</v>
      </c>
      <c r="D25" s="7">
        <v>6.5</v>
      </c>
      <c r="E25" s="7">
        <v>10</v>
      </c>
      <c r="G25">
        <v>0.69550000000000001</v>
      </c>
    </row>
    <row r="26" spans="1:7">
      <c r="A26" s="7">
        <v>8</v>
      </c>
      <c r="B26" s="1" t="s">
        <v>48</v>
      </c>
      <c r="C26" s="2" t="s">
        <v>62</v>
      </c>
      <c r="D26" s="7">
        <v>9.5</v>
      </c>
      <c r="E26" s="7">
        <v>10</v>
      </c>
      <c r="G26">
        <v>0.72589999999999999</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3"/>
  <sheetViews>
    <sheetView topLeftCell="A14" workbookViewId="0">
      <selection activeCell="C55" sqref="C55"/>
    </sheetView>
  </sheetViews>
  <sheetFormatPr baseColWidth="10" defaultRowHeight="15" x14ac:dyDescent="0"/>
  <cols>
    <col min="3" max="3" width="23.5" customWidth="1"/>
    <col min="4" max="4" width="19.6640625" customWidth="1"/>
    <col min="6" max="6" width="18.6640625" customWidth="1"/>
    <col min="7" max="11" width="22.6640625" customWidth="1"/>
  </cols>
  <sheetData>
    <row r="1" spans="1:12">
      <c r="A1" t="s">
        <v>68</v>
      </c>
    </row>
    <row r="2" spans="1:12">
      <c r="A2" t="s">
        <v>69</v>
      </c>
    </row>
    <row r="3" spans="1:12">
      <c r="A3" t="s">
        <v>70</v>
      </c>
    </row>
    <row r="4" spans="1:12">
      <c r="A4" t="s">
        <v>80</v>
      </c>
    </row>
    <row r="5" spans="1:12">
      <c r="A5" t="s">
        <v>1</v>
      </c>
      <c r="B5" t="s">
        <v>77</v>
      </c>
      <c r="C5" t="s">
        <v>63</v>
      </c>
      <c r="D5" t="s">
        <v>66</v>
      </c>
      <c r="E5" s="8" t="s">
        <v>67</v>
      </c>
      <c r="F5" t="s">
        <v>65</v>
      </c>
      <c r="G5" t="s">
        <v>64</v>
      </c>
      <c r="H5" t="s">
        <v>73</v>
      </c>
      <c r="I5" t="s">
        <v>74</v>
      </c>
      <c r="J5" t="s">
        <v>75</v>
      </c>
      <c r="K5" s="11" t="s">
        <v>76</v>
      </c>
      <c r="L5" t="s">
        <v>71</v>
      </c>
    </row>
    <row r="6" spans="1:12">
      <c r="A6">
        <v>1</v>
      </c>
      <c r="B6" t="s">
        <v>78</v>
      </c>
      <c r="C6">
        <v>150</v>
      </c>
      <c r="D6">
        <v>1.6497999999999999</v>
      </c>
      <c r="E6">
        <v>1.1345000000000001</v>
      </c>
      <c r="F6">
        <v>0.97894000000000003</v>
      </c>
      <c r="G6">
        <v>0.33835999999999999</v>
      </c>
      <c r="H6">
        <f>(G6/300)</f>
        <v>1.1278666666666667E-3</v>
      </c>
      <c r="I6">
        <v>150</v>
      </c>
      <c r="J6">
        <f>H6*I6</f>
        <v>0.16918</v>
      </c>
      <c r="K6" s="11">
        <f t="shared" ref="K6:K15" si="0">(D6+E6)-((2*F6)+J6)</f>
        <v>0.65723999999999982</v>
      </c>
    </row>
    <row r="7" spans="1:12">
      <c r="A7">
        <v>2</v>
      </c>
      <c r="B7" t="s">
        <v>78</v>
      </c>
      <c r="C7" t="s">
        <v>14</v>
      </c>
      <c r="D7">
        <v>1.7142999999999999</v>
      </c>
      <c r="E7">
        <v>1.3009999999999999</v>
      </c>
      <c r="F7">
        <v>0.97894000000000003</v>
      </c>
      <c r="G7">
        <v>0.33835999999999999</v>
      </c>
      <c r="H7">
        <f t="shared" ref="H7:H48" si="1">(G7/300)</f>
        <v>1.1278666666666667E-3</v>
      </c>
      <c r="I7">
        <v>300</v>
      </c>
      <c r="J7">
        <f t="shared" ref="J7:J48" si="2">H7*I7</f>
        <v>0.33835999999999999</v>
      </c>
      <c r="K7" s="11">
        <f t="shared" si="0"/>
        <v>0.71905999999999981</v>
      </c>
    </row>
    <row r="8" spans="1:12">
      <c r="A8">
        <v>3</v>
      </c>
      <c r="B8" t="s">
        <v>78</v>
      </c>
      <c r="C8" t="s">
        <v>14</v>
      </c>
      <c r="D8">
        <v>1.4307000000000001</v>
      </c>
      <c r="E8">
        <v>1.3138000000000001</v>
      </c>
      <c r="F8">
        <v>0.97894000000000003</v>
      </c>
      <c r="G8">
        <v>0.33835999999999999</v>
      </c>
      <c r="H8">
        <f t="shared" si="1"/>
        <v>1.1278666666666667E-3</v>
      </c>
      <c r="I8">
        <v>300</v>
      </c>
      <c r="J8">
        <f t="shared" si="2"/>
        <v>0.33835999999999999</v>
      </c>
      <c r="K8" s="11">
        <f t="shared" si="0"/>
        <v>0.44826000000000032</v>
      </c>
    </row>
    <row r="9" spans="1:12">
      <c r="A9">
        <v>4</v>
      </c>
      <c r="B9" t="s">
        <v>78</v>
      </c>
      <c r="C9" t="s">
        <v>14</v>
      </c>
      <c r="D9">
        <v>1.7246999999999999</v>
      </c>
      <c r="E9">
        <v>1.3214999999999999</v>
      </c>
      <c r="F9">
        <v>0.97894000000000003</v>
      </c>
      <c r="G9">
        <v>0.33835999999999999</v>
      </c>
      <c r="H9">
        <f t="shared" si="1"/>
        <v>1.1278666666666667E-3</v>
      </c>
      <c r="I9">
        <v>300</v>
      </c>
      <c r="J9">
        <f t="shared" si="2"/>
        <v>0.33835999999999999</v>
      </c>
      <c r="K9" s="11">
        <f t="shared" si="0"/>
        <v>0.74995999999999974</v>
      </c>
    </row>
    <row r="10" spans="1:12">
      <c r="A10">
        <v>5</v>
      </c>
      <c r="B10" t="s">
        <v>78</v>
      </c>
      <c r="C10" t="s">
        <v>14</v>
      </c>
      <c r="D10">
        <v>1.7178</v>
      </c>
      <c r="E10">
        <v>1.3110999999999999</v>
      </c>
      <c r="F10">
        <v>0.97894000000000003</v>
      </c>
      <c r="G10">
        <v>0.33835999999999999</v>
      </c>
      <c r="H10">
        <f t="shared" si="1"/>
        <v>1.1278666666666667E-3</v>
      </c>
      <c r="I10">
        <v>300</v>
      </c>
      <c r="J10">
        <f t="shared" si="2"/>
        <v>0.33835999999999999</v>
      </c>
      <c r="K10" s="11">
        <f t="shared" si="0"/>
        <v>0.73266000000000009</v>
      </c>
    </row>
    <row r="11" spans="1:12">
      <c r="A11">
        <v>6</v>
      </c>
      <c r="B11" t="s">
        <v>78</v>
      </c>
      <c r="C11" t="s">
        <v>14</v>
      </c>
      <c r="D11" s="10">
        <v>1.6272</v>
      </c>
      <c r="E11">
        <v>1.3525</v>
      </c>
      <c r="F11">
        <v>0.97894000000000003</v>
      </c>
      <c r="G11">
        <v>0.33835999999999999</v>
      </c>
      <c r="H11">
        <f t="shared" si="1"/>
        <v>1.1278666666666667E-3</v>
      </c>
      <c r="I11">
        <v>300</v>
      </c>
      <c r="J11">
        <f t="shared" si="2"/>
        <v>0.33835999999999999</v>
      </c>
      <c r="K11" s="11">
        <f t="shared" si="0"/>
        <v>0.68346000000000018</v>
      </c>
    </row>
    <row r="12" spans="1:12">
      <c r="A12">
        <v>7</v>
      </c>
      <c r="B12" t="s">
        <v>78</v>
      </c>
      <c r="C12">
        <v>150</v>
      </c>
      <c r="D12">
        <v>1.6485000000000001</v>
      </c>
      <c r="E12">
        <v>1.1251</v>
      </c>
      <c r="F12">
        <v>0.97894000000000003</v>
      </c>
      <c r="G12">
        <v>0.33835999999999999</v>
      </c>
      <c r="H12">
        <f t="shared" si="1"/>
        <v>1.1278666666666667E-3</v>
      </c>
      <c r="I12">
        <v>150</v>
      </c>
      <c r="J12">
        <f t="shared" si="2"/>
        <v>0.16918</v>
      </c>
      <c r="K12" s="11">
        <f t="shared" si="0"/>
        <v>0.64653999999999989</v>
      </c>
    </row>
    <row r="13" spans="1:12">
      <c r="A13">
        <v>8</v>
      </c>
      <c r="B13" t="s">
        <v>78</v>
      </c>
      <c r="C13" t="s">
        <v>14</v>
      </c>
      <c r="D13">
        <v>1.7059</v>
      </c>
      <c r="E13">
        <v>1.3180000000000001</v>
      </c>
      <c r="F13">
        <v>0.97894000000000003</v>
      </c>
      <c r="G13">
        <v>0.33835999999999999</v>
      </c>
      <c r="H13">
        <f t="shared" si="1"/>
        <v>1.1278666666666667E-3</v>
      </c>
      <c r="I13">
        <v>300</v>
      </c>
      <c r="J13">
        <f t="shared" si="2"/>
        <v>0.33835999999999999</v>
      </c>
      <c r="K13" s="11">
        <f t="shared" si="0"/>
        <v>0.7276600000000002</v>
      </c>
    </row>
    <row r="14" spans="1:12">
      <c r="A14">
        <v>9</v>
      </c>
      <c r="B14" t="s">
        <v>78</v>
      </c>
      <c r="C14" t="s">
        <v>14</v>
      </c>
      <c r="D14">
        <v>1.7658</v>
      </c>
      <c r="E14">
        <v>1.3313999999999999</v>
      </c>
      <c r="F14">
        <v>0.97894000000000003</v>
      </c>
      <c r="G14">
        <v>0.33835999999999999</v>
      </c>
      <c r="H14">
        <f t="shared" si="1"/>
        <v>1.1278666666666667E-3</v>
      </c>
      <c r="I14">
        <v>300</v>
      </c>
      <c r="J14">
        <f t="shared" si="2"/>
        <v>0.33835999999999999</v>
      </c>
      <c r="K14" s="11">
        <f t="shared" si="0"/>
        <v>0.80095999999999989</v>
      </c>
    </row>
    <row r="15" spans="1:12">
      <c r="A15">
        <v>10</v>
      </c>
      <c r="B15" t="s">
        <v>78</v>
      </c>
      <c r="C15">
        <v>150</v>
      </c>
      <c r="D15">
        <v>1.7363</v>
      </c>
      <c r="E15">
        <v>1.4176</v>
      </c>
      <c r="F15">
        <v>0.97894000000000003</v>
      </c>
      <c r="G15">
        <v>0.33835999999999999</v>
      </c>
      <c r="H15">
        <f t="shared" si="1"/>
        <v>1.1278666666666667E-3</v>
      </c>
      <c r="I15">
        <v>150</v>
      </c>
      <c r="J15">
        <f t="shared" si="2"/>
        <v>0.16918</v>
      </c>
      <c r="K15" s="11">
        <f t="shared" si="0"/>
        <v>1.02684</v>
      </c>
      <c r="L15" t="s">
        <v>72</v>
      </c>
    </row>
    <row r="16" spans="1:12">
      <c r="A16">
        <v>11</v>
      </c>
      <c r="B16" t="s">
        <v>78</v>
      </c>
      <c r="C16" t="s">
        <v>14</v>
      </c>
      <c r="D16" t="s">
        <v>14</v>
      </c>
      <c r="E16" t="s">
        <v>14</v>
      </c>
      <c r="F16" t="s">
        <v>14</v>
      </c>
      <c r="G16" t="s">
        <v>14</v>
      </c>
      <c r="H16" t="s">
        <v>14</v>
      </c>
      <c r="I16" t="s">
        <v>14</v>
      </c>
      <c r="J16" t="s">
        <v>14</v>
      </c>
      <c r="K16" s="11" t="s">
        <v>14</v>
      </c>
    </row>
    <row r="17" spans="1:14">
      <c r="A17">
        <v>12</v>
      </c>
      <c r="B17" t="s">
        <v>78</v>
      </c>
      <c r="C17">
        <v>150</v>
      </c>
      <c r="D17">
        <v>1.5888</v>
      </c>
      <c r="E17">
        <v>1.2488999999999999</v>
      </c>
      <c r="F17">
        <v>0.97894000000000003</v>
      </c>
      <c r="G17">
        <v>0.33835999999999999</v>
      </c>
      <c r="H17">
        <f t="shared" si="1"/>
        <v>1.1278666666666667E-3</v>
      </c>
      <c r="I17">
        <v>150</v>
      </c>
      <c r="J17">
        <f t="shared" si="2"/>
        <v>0.16918</v>
      </c>
      <c r="K17" s="11">
        <f t="shared" ref="K17:K48" si="3">(D17+E17)-((2*F17)+J17)</f>
        <v>0.71063999999999972</v>
      </c>
    </row>
    <row r="18" spans="1:14">
      <c r="A18">
        <v>13</v>
      </c>
      <c r="B18" t="s">
        <v>78</v>
      </c>
      <c r="C18">
        <v>150</v>
      </c>
      <c r="D18">
        <v>1.2870999999999999</v>
      </c>
      <c r="E18">
        <v>1.1644000000000001</v>
      </c>
      <c r="F18">
        <v>0.97894000000000003</v>
      </c>
      <c r="G18">
        <v>0.33835999999999999</v>
      </c>
      <c r="H18">
        <f t="shared" si="1"/>
        <v>1.1278666666666667E-3</v>
      </c>
      <c r="I18">
        <v>150</v>
      </c>
      <c r="J18">
        <f t="shared" si="2"/>
        <v>0.16918</v>
      </c>
      <c r="K18" s="11">
        <f t="shared" si="3"/>
        <v>0.32444000000000006</v>
      </c>
    </row>
    <row r="19" spans="1:14">
      <c r="A19">
        <v>14</v>
      </c>
      <c r="B19" t="s">
        <v>78</v>
      </c>
      <c r="C19">
        <v>150</v>
      </c>
      <c r="D19">
        <v>1.7121</v>
      </c>
      <c r="E19">
        <v>1.1760999999999999</v>
      </c>
      <c r="F19">
        <v>0.97894000000000003</v>
      </c>
      <c r="G19">
        <v>0.33835999999999999</v>
      </c>
      <c r="H19">
        <f t="shared" si="1"/>
        <v>1.1278666666666667E-3</v>
      </c>
      <c r="I19">
        <v>150</v>
      </c>
      <c r="J19">
        <f t="shared" si="2"/>
        <v>0.16918</v>
      </c>
      <c r="K19" s="11">
        <f t="shared" si="3"/>
        <v>0.76113999999999971</v>
      </c>
    </row>
    <row r="20" spans="1:14">
      <c r="A20">
        <v>15</v>
      </c>
      <c r="B20" t="s">
        <v>78</v>
      </c>
      <c r="C20" t="s">
        <v>14</v>
      </c>
      <c r="D20">
        <v>1.6268</v>
      </c>
      <c r="E20">
        <v>1.3210999999999999</v>
      </c>
      <c r="F20">
        <v>0.97894000000000003</v>
      </c>
      <c r="G20">
        <v>0.33835999999999999</v>
      </c>
      <c r="H20">
        <f t="shared" si="1"/>
        <v>1.1278666666666667E-3</v>
      </c>
      <c r="I20">
        <v>300</v>
      </c>
      <c r="J20">
        <f t="shared" si="2"/>
        <v>0.33835999999999999</v>
      </c>
      <c r="K20" s="11">
        <f t="shared" si="3"/>
        <v>0.65165999999999968</v>
      </c>
    </row>
    <row r="21" spans="1:14">
      <c r="A21">
        <v>16</v>
      </c>
      <c r="B21" t="s">
        <v>78</v>
      </c>
      <c r="C21">
        <v>150</v>
      </c>
      <c r="D21">
        <v>1.6286</v>
      </c>
      <c r="E21">
        <v>1.1851</v>
      </c>
      <c r="F21">
        <v>0.97894000000000003</v>
      </c>
      <c r="G21">
        <v>0.33835999999999999</v>
      </c>
      <c r="H21">
        <f t="shared" si="1"/>
        <v>1.1278666666666667E-3</v>
      </c>
      <c r="I21">
        <v>150</v>
      </c>
      <c r="J21">
        <f t="shared" si="2"/>
        <v>0.16918</v>
      </c>
      <c r="K21" s="11">
        <f t="shared" si="3"/>
        <v>0.6866399999999997</v>
      </c>
    </row>
    <row r="22" spans="1:14">
      <c r="A22">
        <v>17</v>
      </c>
      <c r="B22" t="s">
        <v>78</v>
      </c>
      <c r="C22">
        <v>150</v>
      </c>
      <c r="D22">
        <v>1.3041</v>
      </c>
      <c r="E22">
        <v>1.2050000000000001</v>
      </c>
      <c r="F22">
        <v>0.97894000000000003</v>
      </c>
      <c r="G22">
        <v>0.33835999999999999</v>
      </c>
      <c r="H22">
        <f t="shared" si="1"/>
        <v>1.1278666666666667E-3</v>
      </c>
      <c r="I22">
        <v>150</v>
      </c>
      <c r="J22">
        <f t="shared" si="2"/>
        <v>0.16918</v>
      </c>
      <c r="K22" s="11">
        <f t="shared" si="3"/>
        <v>0.38203999999999994</v>
      </c>
    </row>
    <row r="23" spans="1:14">
      <c r="A23">
        <v>18</v>
      </c>
      <c r="B23" t="s">
        <v>78</v>
      </c>
      <c r="C23">
        <v>150</v>
      </c>
      <c r="D23">
        <v>1.5235000000000001</v>
      </c>
      <c r="E23">
        <v>1.2032</v>
      </c>
      <c r="F23">
        <v>0.97894000000000003</v>
      </c>
      <c r="G23">
        <v>0.33835999999999999</v>
      </c>
      <c r="H23">
        <f t="shared" si="1"/>
        <v>1.1278666666666667E-3</v>
      </c>
      <c r="I23">
        <v>150</v>
      </c>
      <c r="J23">
        <f t="shared" si="2"/>
        <v>0.16918</v>
      </c>
      <c r="K23" s="11">
        <f t="shared" si="3"/>
        <v>0.59963999999999995</v>
      </c>
    </row>
    <row r="24" spans="1:14">
      <c r="A24">
        <v>19</v>
      </c>
      <c r="B24" t="s">
        <v>78</v>
      </c>
      <c r="C24" t="s">
        <v>14</v>
      </c>
      <c r="D24">
        <v>1.5169999999999999</v>
      </c>
      <c r="E24">
        <v>1.3789</v>
      </c>
      <c r="F24">
        <v>0.97894000000000003</v>
      </c>
      <c r="G24">
        <v>0.33835999999999999</v>
      </c>
      <c r="H24">
        <f t="shared" si="1"/>
        <v>1.1278666666666667E-3</v>
      </c>
      <c r="I24">
        <v>300</v>
      </c>
      <c r="J24">
        <f t="shared" si="2"/>
        <v>0.33835999999999999</v>
      </c>
      <c r="K24" s="11">
        <f t="shared" si="3"/>
        <v>0.59966000000000008</v>
      </c>
    </row>
    <row r="25" spans="1:14">
      <c r="A25">
        <v>20</v>
      </c>
      <c r="B25" t="s">
        <v>78</v>
      </c>
      <c r="C25" t="s">
        <v>14</v>
      </c>
      <c r="D25">
        <v>1.506</v>
      </c>
      <c r="E25">
        <v>1.3536999999999999</v>
      </c>
      <c r="F25">
        <v>0.97894000000000003</v>
      </c>
      <c r="G25">
        <v>0.33835999999999999</v>
      </c>
      <c r="H25">
        <f t="shared" si="1"/>
        <v>1.1278666666666667E-3</v>
      </c>
      <c r="I25">
        <v>300</v>
      </c>
      <c r="J25">
        <f t="shared" si="2"/>
        <v>0.33835999999999999</v>
      </c>
      <c r="K25" s="11">
        <f t="shared" si="3"/>
        <v>0.56346000000000007</v>
      </c>
    </row>
    <row r="26" spans="1:14">
      <c r="A26">
        <v>21</v>
      </c>
      <c r="B26" t="s">
        <v>78</v>
      </c>
      <c r="C26" t="s">
        <v>14</v>
      </c>
      <c r="D26">
        <v>1.655</v>
      </c>
      <c r="E26">
        <v>1.3482000000000001</v>
      </c>
      <c r="F26">
        <v>0.97894000000000003</v>
      </c>
      <c r="G26">
        <v>0.33835999999999999</v>
      </c>
      <c r="H26">
        <f t="shared" si="1"/>
        <v>1.1278666666666667E-3</v>
      </c>
      <c r="I26">
        <v>300</v>
      </c>
      <c r="J26">
        <f t="shared" si="2"/>
        <v>0.33835999999999999</v>
      </c>
      <c r="K26" s="11">
        <f t="shared" si="3"/>
        <v>0.70696000000000003</v>
      </c>
    </row>
    <row r="27" spans="1:14">
      <c r="A27">
        <v>22</v>
      </c>
      <c r="B27" t="s">
        <v>78</v>
      </c>
      <c r="C27">
        <v>150</v>
      </c>
      <c r="D27">
        <v>1.5387</v>
      </c>
      <c r="E27">
        <v>1.2109000000000001</v>
      </c>
      <c r="F27">
        <v>0.97894000000000003</v>
      </c>
      <c r="G27">
        <v>0.33835999999999999</v>
      </c>
      <c r="H27">
        <f t="shared" si="1"/>
        <v>1.1278666666666667E-3</v>
      </c>
      <c r="I27">
        <v>150</v>
      </c>
      <c r="J27">
        <f t="shared" si="2"/>
        <v>0.16918</v>
      </c>
      <c r="K27" s="11">
        <f t="shared" si="3"/>
        <v>0.62253999999999987</v>
      </c>
    </row>
    <row r="28" spans="1:14">
      <c r="A28">
        <v>23</v>
      </c>
      <c r="B28" t="s">
        <v>78</v>
      </c>
      <c r="C28">
        <v>150</v>
      </c>
      <c r="D28">
        <v>1.2857000000000001</v>
      </c>
      <c r="E28">
        <v>1.1705000000000001</v>
      </c>
      <c r="F28">
        <v>0.97894000000000003</v>
      </c>
      <c r="G28">
        <v>0.33835999999999999</v>
      </c>
      <c r="H28">
        <f t="shared" si="1"/>
        <v>1.1278666666666667E-3</v>
      </c>
      <c r="I28">
        <v>150</v>
      </c>
      <c r="J28">
        <f t="shared" si="2"/>
        <v>0.16918</v>
      </c>
      <c r="K28" s="11">
        <f t="shared" si="3"/>
        <v>0.32913999999999977</v>
      </c>
    </row>
    <row r="29" spans="1:14">
      <c r="A29">
        <v>24</v>
      </c>
      <c r="B29" t="s">
        <v>78</v>
      </c>
      <c r="C29">
        <v>150</v>
      </c>
      <c r="D29">
        <v>1.5263</v>
      </c>
      <c r="E29">
        <v>1.2128000000000001</v>
      </c>
      <c r="F29">
        <v>0.97894000000000003</v>
      </c>
      <c r="G29">
        <v>0.33835999999999999</v>
      </c>
      <c r="H29">
        <f>(G29/300)</f>
        <v>1.1278666666666667E-3</v>
      </c>
      <c r="I29">
        <v>150</v>
      </c>
      <c r="J29">
        <f t="shared" si="2"/>
        <v>0.16918</v>
      </c>
      <c r="K29" s="11">
        <f t="shared" si="3"/>
        <v>0.61203999999999992</v>
      </c>
      <c r="M29">
        <f>AVERAGE(K6:K29)</f>
        <v>0.64098434782608682</v>
      </c>
      <c r="N29" s="12"/>
    </row>
    <row r="30" spans="1:14">
      <c r="A30">
        <v>25</v>
      </c>
      <c r="B30" t="s">
        <v>78</v>
      </c>
      <c r="C30" t="s">
        <v>14</v>
      </c>
      <c r="D30">
        <v>1.5446</v>
      </c>
      <c r="E30">
        <v>1.3720000000000001</v>
      </c>
      <c r="F30">
        <v>0.97894000000000003</v>
      </c>
      <c r="G30">
        <v>0.33835999999999999</v>
      </c>
      <c r="H30">
        <f t="shared" si="1"/>
        <v>1.1278666666666667E-3</v>
      </c>
      <c r="I30">
        <v>300</v>
      </c>
      <c r="J30">
        <f t="shared" si="2"/>
        <v>0.33835999999999999</v>
      </c>
      <c r="K30" s="11">
        <f t="shared" si="3"/>
        <v>0.6203599999999998</v>
      </c>
      <c r="M30">
        <f>AVERAGE(K30:K48)</f>
        <v>0.59292526315789473</v>
      </c>
    </row>
    <row r="31" spans="1:14">
      <c r="A31">
        <v>26</v>
      </c>
      <c r="B31" t="s">
        <v>79</v>
      </c>
      <c r="C31" t="s">
        <v>14</v>
      </c>
      <c r="D31">
        <v>1.5391999999999999</v>
      </c>
      <c r="E31">
        <v>1.5238</v>
      </c>
      <c r="F31">
        <v>0.97894000000000003</v>
      </c>
      <c r="G31">
        <v>0.33835999999999999</v>
      </c>
      <c r="H31">
        <f t="shared" si="1"/>
        <v>1.1278666666666667E-3</v>
      </c>
      <c r="I31">
        <v>300</v>
      </c>
      <c r="J31">
        <f t="shared" si="2"/>
        <v>0.33835999999999999</v>
      </c>
      <c r="K31" s="11">
        <f t="shared" si="3"/>
        <v>0.76675999999999966</v>
      </c>
    </row>
    <row r="32" spans="1:14">
      <c r="A32">
        <v>27</v>
      </c>
      <c r="B32" t="s">
        <v>79</v>
      </c>
      <c r="C32" t="s">
        <v>14</v>
      </c>
      <c r="D32">
        <v>1.4657</v>
      </c>
      <c r="E32">
        <v>1.4058999999999999</v>
      </c>
      <c r="F32">
        <v>0.97894000000000003</v>
      </c>
      <c r="G32">
        <v>0.33835999999999999</v>
      </c>
      <c r="H32">
        <f t="shared" si="1"/>
        <v>1.1278666666666667E-3</v>
      </c>
      <c r="I32">
        <v>300</v>
      </c>
      <c r="J32">
        <f t="shared" si="2"/>
        <v>0.33835999999999999</v>
      </c>
      <c r="K32" s="11">
        <f t="shared" si="3"/>
        <v>0.57535999999999987</v>
      </c>
    </row>
    <row r="33" spans="1:11">
      <c r="A33">
        <v>28</v>
      </c>
      <c r="B33" t="s">
        <v>79</v>
      </c>
      <c r="C33" t="s">
        <v>14</v>
      </c>
      <c r="D33">
        <v>1.5367999999999999</v>
      </c>
      <c r="E33">
        <v>1.4822</v>
      </c>
      <c r="F33">
        <v>0.97894000000000003</v>
      </c>
      <c r="G33">
        <v>0.33835999999999999</v>
      </c>
      <c r="H33">
        <f t="shared" si="1"/>
        <v>1.1278666666666667E-3</v>
      </c>
      <c r="I33">
        <v>300</v>
      </c>
      <c r="J33">
        <f t="shared" si="2"/>
        <v>0.33835999999999999</v>
      </c>
      <c r="K33" s="11">
        <f t="shared" si="3"/>
        <v>0.72276000000000007</v>
      </c>
    </row>
    <row r="34" spans="1:11">
      <c r="A34">
        <v>29</v>
      </c>
      <c r="B34" t="s">
        <v>79</v>
      </c>
      <c r="C34" t="s">
        <v>14</v>
      </c>
      <c r="D34">
        <v>1.4693000000000001</v>
      </c>
      <c r="E34">
        <v>1.4469000000000001</v>
      </c>
      <c r="F34">
        <v>0.97894000000000003</v>
      </c>
      <c r="G34">
        <v>0.33835999999999999</v>
      </c>
      <c r="H34">
        <f t="shared" si="1"/>
        <v>1.1278666666666667E-3</v>
      </c>
      <c r="I34">
        <v>300</v>
      </c>
      <c r="J34">
        <f t="shared" si="2"/>
        <v>0.33835999999999999</v>
      </c>
      <c r="K34" s="11">
        <f t="shared" si="3"/>
        <v>0.61995999999999984</v>
      </c>
    </row>
    <row r="35" spans="1:11">
      <c r="A35">
        <v>30</v>
      </c>
      <c r="B35" t="s">
        <v>79</v>
      </c>
      <c r="C35" t="s">
        <v>14</v>
      </c>
      <c r="D35">
        <v>1.5256000000000001</v>
      </c>
      <c r="E35">
        <v>1.3931</v>
      </c>
      <c r="F35">
        <v>0.97894000000000003</v>
      </c>
      <c r="G35">
        <v>0.33835999999999999</v>
      </c>
      <c r="H35">
        <f t="shared" si="1"/>
        <v>1.1278666666666667E-3</v>
      </c>
      <c r="I35">
        <v>300</v>
      </c>
      <c r="J35">
        <f t="shared" si="2"/>
        <v>0.33835999999999999</v>
      </c>
      <c r="K35" s="11">
        <f t="shared" si="3"/>
        <v>0.62246000000000024</v>
      </c>
    </row>
    <row r="36" spans="1:11">
      <c r="A36">
        <v>31</v>
      </c>
      <c r="B36" t="s">
        <v>79</v>
      </c>
      <c r="C36">
        <v>150</v>
      </c>
      <c r="D36">
        <v>1.4365000000000001</v>
      </c>
      <c r="E36">
        <v>1.2662</v>
      </c>
      <c r="F36">
        <v>0.97894000000000003</v>
      </c>
      <c r="G36">
        <v>0.33835999999999999</v>
      </c>
      <c r="H36">
        <f t="shared" si="1"/>
        <v>1.1278666666666667E-3</v>
      </c>
      <c r="I36">
        <v>150</v>
      </c>
      <c r="J36">
        <f t="shared" si="2"/>
        <v>0.16918</v>
      </c>
      <c r="K36" s="11">
        <f t="shared" si="3"/>
        <v>0.57563999999999993</v>
      </c>
    </row>
    <row r="37" spans="1:11">
      <c r="A37">
        <v>32</v>
      </c>
      <c r="B37" t="s">
        <v>79</v>
      </c>
      <c r="C37" t="s">
        <v>14</v>
      </c>
      <c r="D37">
        <v>1.4802999999999999</v>
      </c>
      <c r="E37">
        <v>1.4453</v>
      </c>
      <c r="F37">
        <v>0.97894000000000003</v>
      </c>
      <c r="G37">
        <v>0.33835999999999999</v>
      </c>
      <c r="H37">
        <f t="shared" si="1"/>
        <v>1.1278666666666667E-3</v>
      </c>
      <c r="I37">
        <v>300</v>
      </c>
      <c r="J37">
        <f t="shared" si="2"/>
        <v>0.33835999999999999</v>
      </c>
      <c r="K37" s="11">
        <f t="shared" si="3"/>
        <v>0.62936000000000014</v>
      </c>
    </row>
    <row r="38" spans="1:11">
      <c r="A38">
        <v>33</v>
      </c>
      <c r="B38" t="s">
        <v>79</v>
      </c>
      <c r="C38" t="s">
        <v>14</v>
      </c>
      <c r="D38">
        <v>1.4116</v>
      </c>
      <c r="E38">
        <v>1.3915</v>
      </c>
      <c r="F38">
        <v>0.97894000000000003</v>
      </c>
      <c r="G38">
        <v>0.33835999999999999</v>
      </c>
      <c r="H38">
        <f t="shared" si="1"/>
        <v>1.1278666666666667E-3</v>
      </c>
      <c r="I38">
        <v>300</v>
      </c>
      <c r="J38">
        <f t="shared" si="2"/>
        <v>0.33835999999999999</v>
      </c>
      <c r="K38" s="11">
        <f t="shared" si="3"/>
        <v>0.50685999999999964</v>
      </c>
    </row>
    <row r="39" spans="1:11">
      <c r="A39">
        <v>34</v>
      </c>
      <c r="B39" t="s">
        <v>79</v>
      </c>
      <c r="C39" t="s">
        <v>14</v>
      </c>
      <c r="D39">
        <v>1.4025000000000001</v>
      </c>
      <c r="E39">
        <v>1.4092</v>
      </c>
      <c r="F39">
        <v>0.97894000000000003</v>
      </c>
      <c r="G39">
        <v>0.33835999999999999</v>
      </c>
      <c r="H39">
        <f t="shared" si="1"/>
        <v>1.1278666666666667E-3</v>
      </c>
      <c r="I39">
        <v>300</v>
      </c>
      <c r="J39">
        <f t="shared" si="2"/>
        <v>0.33835999999999999</v>
      </c>
      <c r="K39" s="11">
        <f t="shared" si="3"/>
        <v>0.51546000000000003</v>
      </c>
    </row>
    <row r="40" spans="1:11">
      <c r="A40">
        <v>35</v>
      </c>
      <c r="B40" t="s">
        <v>79</v>
      </c>
      <c r="C40" t="s">
        <v>14</v>
      </c>
      <c r="D40">
        <v>1.226</v>
      </c>
      <c r="E40">
        <v>1.4182999999999999</v>
      </c>
      <c r="F40">
        <v>0.97894000000000003</v>
      </c>
      <c r="G40">
        <v>0.33835999999999999</v>
      </c>
      <c r="H40">
        <f t="shared" si="1"/>
        <v>1.1278666666666667E-3</v>
      </c>
      <c r="I40">
        <v>300</v>
      </c>
      <c r="J40">
        <f t="shared" si="2"/>
        <v>0.33835999999999999</v>
      </c>
      <c r="K40" s="11">
        <f t="shared" si="3"/>
        <v>0.34805999999999981</v>
      </c>
    </row>
    <row r="41" spans="1:11">
      <c r="A41">
        <v>36</v>
      </c>
      <c r="B41" t="s">
        <v>79</v>
      </c>
      <c r="C41" t="s">
        <v>14</v>
      </c>
      <c r="D41">
        <v>1.3665</v>
      </c>
      <c r="E41">
        <v>1.4404999999999999</v>
      </c>
      <c r="F41">
        <v>0.97894000000000003</v>
      </c>
      <c r="G41">
        <v>0.33835999999999999</v>
      </c>
      <c r="H41">
        <f t="shared" si="1"/>
        <v>1.1278666666666667E-3</v>
      </c>
      <c r="I41">
        <v>300</v>
      </c>
      <c r="J41">
        <f t="shared" si="2"/>
        <v>0.33835999999999999</v>
      </c>
      <c r="K41" s="11">
        <f t="shared" si="3"/>
        <v>0.51075999999999988</v>
      </c>
    </row>
    <row r="42" spans="1:11">
      <c r="A42">
        <v>37</v>
      </c>
      <c r="B42" t="s">
        <v>79</v>
      </c>
      <c r="C42" t="s">
        <v>14</v>
      </c>
      <c r="D42">
        <v>1.4423999999999999</v>
      </c>
      <c r="E42">
        <v>1.4524999999999999</v>
      </c>
      <c r="F42">
        <v>0.97894000000000003</v>
      </c>
      <c r="G42">
        <v>0.33835999999999999</v>
      </c>
      <c r="H42">
        <f t="shared" si="1"/>
        <v>1.1278666666666667E-3</v>
      </c>
      <c r="I42">
        <v>300</v>
      </c>
      <c r="J42">
        <f t="shared" si="2"/>
        <v>0.33835999999999999</v>
      </c>
      <c r="K42" s="11">
        <f t="shared" si="3"/>
        <v>0.59865999999999975</v>
      </c>
    </row>
    <row r="43" spans="1:11">
      <c r="A43">
        <v>38</v>
      </c>
      <c r="B43" t="s">
        <v>79</v>
      </c>
      <c r="C43" t="s">
        <v>14</v>
      </c>
      <c r="D43">
        <v>1.4424999999999999</v>
      </c>
      <c r="E43">
        <v>1.4799</v>
      </c>
      <c r="F43">
        <v>0.97894000000000003</v>
      </c>
      <c r="G43">
        <v>0.33835999999999999</v>
      </c>
      <c r="H43">
        <f t="shared" si="1"/>
        <v>1.1278666666666667E-3</v>
      </c>
      <c r="I43">
        <v>300</v>
      </c>
      <c r="J43">
        <f t="shared" si="2"/>
        <v>0.33835999999999999</v>
      </c>
      <c r="K43" s="11">
        <f t="shared" si="3"/>
        <v>0.62615999999999961</v>
      </c>
    </row>
    <row r="44" spans="1:11">
      <c r="A44">
        <v>39</v>
      </c>
      <c r="B44" t="s">
        <v>79</v>
      </c>
      <c r="C44" t="s">
        <v>14</v>
      </c>
      <c r="D44">
        <v>1.4292</v>
      </c>
      <c r="E44">
        <v>1.3714999999999999</v>
      </c>
      <c r="F44">
        <v>0.97894000000000003</v>
      </c>
      <c r="G44">
        <v>0.33835999999999999</v>
      </c>
      <c r="H44">
        <f t="shared" si="1"/>
        <v>1.1278666666666667E-3</v>
      </c>
      <c r="I44">
        <v>300</v>
      </c>
      <c r="J44">
        <f t="shared" si="2"/>
        <v>0.33835999999999999</v>
      </c>
      <c r="K44" s="11">
        <f t="shared" si="3"/>
        <v>0.50445999999999991</v>
      </c>
    </row>
    <row r="45" spans="1:11">
      <c r="A45">
        <v>40</v>
      </c>
      <c r="B45" t="s">
        <v>79</v>
      </c>
      <c r="C45" t="s">
        <v>14</v>
      </c>
      <c r="D45">
        <v>1.4793000000000001</v>
      </c>
      <c r="E45">
        <v>1.5114000000000001</v>
      </c>
      <c r="F45">
        <v>0.97894000000000003</v>
      </c>
      <c r="G45">
        <v>0.33835999999999999</v>
      </c>
      <c r="H45">
        <f t="shared" si="1"/>
        <v>1.1278666666666667E-3</v>
      </c>
      <c r="I45">
        <v>300</v>
      </c>
      <c r="J45">
        <f t="shared" si="2"/>
        <v>0.33835999999999999</v>
      </c>
      <c r="K45" s="11">
        <f t="shared" si="3"/>
        <v>0.6944600000000003</v>
      </c>
    </row>
    <row r="46" spans="1:11">
      <c r="A46">
        <v>41</v>
      </c>
      <c r="B46" t="s">
        <v>79</v>
      </c>
      <c r="C46">
        <v>150</v>
      </c>
      <c r="D46">
        <v>1.3846000000000001</v>
      </c>
      <c r="E46">
        <v>1.2137</v>
      </c>
      <c r="F46">
        <v>0.97894000000000003</v>
      </c>
      <c r="G46">
        <v>0.33835999999999999</v>
      </c>
      <c r="H46">
        <f t="shared" si="1"/>
        <v>1.1278666666666667E-3</v>
      </c>
      <c r="I46">
        <v>150</v>
      </c>
      <c r="J46">
        <f t="shared" si="2"/>
        <v>0.16918</v>
      </c>
      <c r="K46" s="11">
        <f t="shared" si="3"/>
        <v>0.47123999999999988</v>
      </c>
    </row>
    <row r="47" spans="1:11">
      <c r="A47">
        <v>42</v>
      </c>
      <c r="B47" t="s">
        <v>79</v>
      </c>
      <c r="C47">
        <v>150</v>
      </c>
      <c r="D47">
        <v>1.4612000000000001</v>
      </c>
      <c r="E47">
        <v>1.2997000000000001</v>
      </c>
      <c r="F47">
        <v>0.97894000000000003</v>
      </c>
      <c r="G47">
        <v>0.33835999999999999</v>
      </c>
      <c r="H47">
        <f t="shared" si="1"/>
        <v>1.1278666666666667E-3</v>
      </c>
      <c r="I47">
        <v>150</v>
      </c>
      <c r="J47">
        <f t="shared" si="2"/>
        <v>0.16918</v>
      </c>
      <c r="K47" s="11">
        <f t="shared" si="3"/>
        <v>0.63384000000000018</v>
      </c>
    </row>
    <row r="48" spans="1:11">
      <c r="A48">
        <v>43</v>
      </c>
      <c r="B48" t="s">
        <v>79</v>
      </c>
      <c r="C48" t="s">
        <v>14</v>
      </c>
      <c r="D48">
        <v>1.5590999999999999</v>
      </c>
      <c r="E48">
        <v>1.4601</v>
      </c>
      <c r="F48">
        <v>0.97894000000000003</v>
      </c>
      <c r="G48">
        <v>0.33835999999999999</v>
      </c>
      <c r="H48">
        <f t="shared" si="1"/>
        <v>1.1278666666666667E-3</v>
      </c>
      <c r="I48">
        <v>300</v>
      </c>
      <c r="J48">
        <f t="shared" si="2"/>
        <v>0.33835999999999999</v>
      </c>
      <c r="K48" s="11">
        <f t="shared" si="3"/>
        <v>0.7229599999999996</v>
      </c>
    </row>
    <row r="52" spans="1:2">
      <c r="A52" t="s">
        <v>81</v>
      </c>
      <c r="B52">
        <v>25</v>
      </c>
    </row>
    <row r="53" spans="1:2">
      <c r="A53" t="s">
        <v>82</v>
      </c>
      <c r="B53">
        <f>43-25</f>
        <v>18</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
  <sheetViews>
    <sheetView workbookViewId="0">
      <selection activeCell="F18" sqref="F18"/>
    </sheetView>
  </sheetViews>
  <sheetFormatPr baseColWidth="10" defaultRowHeight="15" x14ac:dyDescent="0"/>
  <cols>
    <col min="1" max="1" width="18.6640625" customWidth="1"/>
    <col min="5" max="5" width="13.1640625" customWidth="1"/>
    <col min="7" max="7" width="23.5" customWidth="1"/>
  </cols>
  <sheetData>
    <row r="1" spans="1:8">
      <c r="A1" t="s">
        <v>83</v>
      </c>
    </row>
    <row r="3" spans="1:8">
      <c r="A3" t="s">
        <v>84</v>
      </c>
      <c r="B3" t="s">
        <v>85</v>
      </c>
      <c r="C3" t="s">
        <v>86</v>
      </c>
      <c r="D3" t="s">
        <v>87</v>
      </c>
      <c r="E3" t="s">
        <v>88</v>
      </c>
      <c r="G3" t="s">
        <v>89</v>
      </c>
    </row>
    <row r="4" spans="1:8">
      <c r="A4">
        <v>43</v>
      </c>
      <c r="B4">
        <f>$A$4*2</f>
        <v>86</v>
      </c>
      <c r="C4">
        <f t="shared" ref="C4:E4" si="0">$A$4*2</f>
        <v>86</v>
      </c>
      <c r="D4">
        <f t="shared" si="0"/>
        <v>86</v>
      </c>
      <c r="E4">
        <f t="shared" si="0"/>
        <v>86</v>
      </c>
      <c r="F4">
        <f>SUM(B4:E4)</f>
        <v>344</v>
      </c>
      <c r="G4">
        <v>8</v>
      </c>
      <c r="H4">
        <f>96-G4</f>
        <v>88</v>
      </c>
    </row>
    <row r="7" spans="1:8">
      <c r="F7">
        <f>344/88</f>
        <v>3.9090909090909092</v>
      </c>
      <c r="G7" s="9" t="s">
        <v>90</v>
      </c>
    </row>
    <row r="9" spans="1:8">
      <c r="F9">
        <f>G4*4</f>
        <v>32</v>
      </c>
    </row>
    <row r="10" spans="1:8">
      <c r="F10" s="9">
        <f>F4+F9</f>
        <v>376</v>
      </c>
    </row>
    <row r="11" spans="1:8">
      <c r="E11" t="s">
        <v>91</v>
      </c>
      <c r="F11">
        <v>476</v>
      </c>
    </row>
    <row r="12" spans="1:8">
      <c r="F12" s="9" t="s">
        <v>92</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weight calculations</vt:lpstr>
      <vt:lpstr>Sheet2</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Samantha</dc:creator>
  <cp:lastModifiedBy>Samantha</cp:lastModifiedBy>
  <dcterms:created xsi:type="dcterms:W3CDTF">2015-10-31T18:26:04Z</dcterms:created>
  <dcterms:modified xsi:type="dcterms:W3CDTF">2018-01-22T20:55:44Z</dcterms:modified>
</cp:coreProperties>
</file>